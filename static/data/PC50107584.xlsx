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55" yWindow="-240" windowWidth="18840" windowHeight="16005" activeTab="1"/>
  </bookViews>
  <sheets>
    <sheet name="QOP26a" sheetId="8" r:id="rId1"/>
    <sheet name="QOP26b" sheetId="17" r:id="rId2"/>
  </sheets>
  <calcPr calcId="125725" refMode="R1C1"/>
</workbook>
</file>

<file path=xl/calcChain.xml><?xml version="1.0" encoding="utf-8"?>
<calcChain xmlns="http://schemas.openxmlformats.org/spreadsheetml/2006/main">
  <c r="D5" i="17"/>
  <c r="E5"/>
  <c r="D7"/>
  <c r="E7"/>
  <c r="D8"/>
  <c r="E8"/>
  <c r="D10"/>
  <c r="E10"/>
  <c r="D11"/>
  <c r="E11"/>
  <c r="D12"/>
  <c r="E12"/>
  <c r="D13"/>
  <c r="E13"/>
  <c r="D14"/>
  <c r="E14"/>
  <c r="D15"/>
  <c r="E15"/>
  <c r="D16"/>
  <c r="E16"/>
  <c r="D19"/>
  <c r="E19"/>
  <c r="D20"/>
  <c r="E20"/>
  <c r="E4"/>
  <c r="D4"/>
  <c r="E9" i="8"/>
  <c r="E5"/>
  <c r="E7"/>
  <c r="E8"/>
  <c r="E11"/>
  <c r="E12"/>
  <c r="E13"/>
  <c r="E14"/>
  <c r="E15"/>
  <c r="E17"/>
  <c r="E18"/>
  <c r="E19"/>
  <c r="E20"/>
  <c r="E21"/>
  <c r="E22"/>
  <c r="E23"/>
  <c r="E24"/>
  <c r="E25"/>
  <c r="E27"/>
  <c r="E28"/>
  <c r="E29"/>
  <c r="E31"/>
  <c r="E32"/>
  <c r="E33"/>
  <c r="E34"/>
  <c r="E35"/>
  <c r="E36"/>
  <c r="E37"/>
  <c r="E39"/>
  <c r="E40"/>
  <c r="D5"/>
  <c r="D7"/>
  <c r="D8"/>
  <c r="D9"/>
  <c r="D11"/>
  <c r="D12"/>
  <c r="D13"/>
  <c r="D14"/>
  <c r="D15"/>
  <c r="D17"/>
  <c r="D18"/>
  <c r="D19"/>
  <c r="D20"/>
  <c r="D21"/>
  <c r="D22"/>
  <c r="D23"/>
  <c r="D24"/>
  <c r="D25"/>
  <c r="D27"/>
  <c r="D28"/>
  <c r="D29"/>
  <c r="D31"/>
  <c r="D32"/>
  <c r="D33"/>
  <c r="D34"/>
  <c r="D35"/>
  <c r="D36"/>
  <c r="D37"/>
  <c r="D39"/>
  <c r="D40"/>
  <c r="E4"/>
  <c r="D4"/>
</calcChain>
</file>

<file path=xl/sharedStrings.xml><?xml version="1.0" encoding="utf-8"?>
<sst xmlns="http://schemas.openxmlformats.org/spreadsheetml/2006/main" count="69" uniqueCount="53">
  <si>
    <t>Code</t>
  </si>
  <si>
    <t>Question:</t>
  </si>
  <si>
    <t>Text (local language)</t>
  </si>
  <si>
    <t>Autres</t>
  </si>
  <si>
    <t>Rien / N.S.P</t>
  </si>
  <si>
    <t>QOP26b Dislike</t>
  </si>
  <si>
    <t>QOP26a Like</t>
  </si>
  <si>
    <t>Aime la pub (toutes autres références positives)</t>
  </si>
  <si>
    <t>N'aime pas la pub (toutes autres références négatives)</t>
  </si>
  <si>
    <t>Tout / l'ensemble de la pub</t>
  </si>
  <si>
    <t>La musique</t>
  </si>
  <si>
    <t>Les couleurs</t>
  </si>
  <si>
    <t>Aime le produit (toutes autres références positives</t>
  </si>
  <si>
    <t>BENEFICES PRODUIT</t>
  </si>
  <si>
    <t>DIVERS PUB</t>
  </si>
  <si>
    <t>SENSATIONS</t>
  </si>
  <si>
    <t>PERSONNAGES</t>
  </si>
  <si>
    <t>Pub banale / comme toutes les autres / pas d'originalité</t>
  </si>
  <si>
    <t>La voix off</t>
  </si>
  <si>
    <t>La femme</t>
  </si>
  <si>
    <t>LE DEMAQUILLAGE</t>
  </si>
  <si>
    <t>Le démaquillage / le nettoyage</t>
  </si>
  <si>
    <t>Les effets du produit / le résultat</t>
  </si>
  <si>
    <t>La présentation du produit / explications / informations</t>
  </si>
  <si>
    <t>Produit  3 en 1</t>
  </si>
  <si>
    <t>Produit tout en 1</t>
  </si>
  <si>
    <t>Efficace / efficacité</t>
  </si>
  <si>
    <t>Nettoie la peau</t>
  </si>
  <si>
    <t>Rapide</t>
  </si>
  <si>
    <t>Simple / facile / pratique à utiliser</t>
  </si>
  <si>
    <t>Pureté</t>
  </si>
  <si>
    <t>La douceur / douce</t>
  </si>
  <si>
    <t>RELATIF A LA PUB</t>
  </si>
  <si>
    <t>Aime la durée de la pub</t>
  </si>
  <si>
    <t>Claire / facile a comprendre</t>
  </si>
  <si>
    <t>Simple / simplicité</t>
  </si>
  <si>
    <t>Humour</t>
  </si>
  <si>
    <t>Difficile à croire / paraît impossible / est-ce la vérité ?</t>
  </si>
  <si>
    <t>Le couple</t>
  </si>
  <si>
    <t>Ennuyeux / fade / sans intérêt</t>
  </si>
  <si>
    <t>Démaquille</t>
  </si>
  <si>
    <t>Début de la pub trop rapide</t>
  </si>
  <si>
    <t>Effectif</t>
  </si>
  <si>
    <t>% des répondants (107)</t>
  </si>
  <si>
    <t>% de l'effectif total (150)</t>
  </si>
  <si>
    <t>% des répondants (38)</t>
  </si>
  <si>
    <t>8</t>
  </si>
  <si>
    <t>17</t>
  </si>
  <si>
    <t>4</t>
  </si>
  <si>
    <t>3</t>
  </si>
  <si>
    <t>2</t>
  </si>
  <si>
    <t>30</t>
  </si>
  <si>
    <t>0</t>
  </si>
</sst>
</file>

<file path=xl/styles.xml><?xml version="1.0" encoding="utf-8"?>
<styleSheet xmlns="http://schemas.openxmlformats.org/spreadsheetml/2006/main">
  <numFmts count="1">
    <numFmt numFmtId="178" formatCode="000"/>
  </numFmts>
  <fonts count="8">
    <font>
      <sz val="10"/>
      <name val="Arial"/>
    </font>
    <font>
      <b/>
      <sz val="10"/>
      <name val="Arial"/>
      <family val="2"/>
    </font>
    <font>
      <sz val="10"/>
      <name val="Arial"/>
    </font>
    <font>
      <sz val="8"/>
      <name val="Arial"/>
      <family val="2"/>
    </font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9">
    <xf numFmtId="0" fontId="0" fillId="0" borderId="0" xfId="0"/>
    <xf numFmtId="49" fontId="2" fillId="2" borderId="0" xfId="0" applyNumberFormat="1" applyFont="1" applyFill="1" applyBorder="1" applyAlignment="1" applyProtection="1">
      <alignment horizontal="left" vertical="top" wrapText="1" indent="1"/>
      <protection locked="0"/>
    </xf>
    <xf numFmtId="0" fontId="0" fillId="0" borderId="0" xfId="0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178" fontId="1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 wrapText="1"/>
    </xf>
    <xf numFmtId="178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178" fontId="0" fillId="0" borderId="0" xfId="0" applyNumberFormat="1" applyFill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10" fontId="7" fillId="0" borderId="0" xfId="0" applyNumberFormat="1" applyFont="1" applyAlignment="1">
      <alignment vertical="top" wrapText="1"/>
    </xf>
    <xf numFmtId="10" fontId="7" fillId="0" borderId="0" xfId="0" applyNumberFormat="1" applyFont="1"/>
    <xf numFmtId="0" fontId="7" fillId="0" borderId="0" xfId="0" applyFont="1"/>
    <xf numFmtId="10" fontId="6" fillId="0" borderId="0" xfId="0" applyNumberFormat="1" applyFont="1" applyAlignment="1">
      <alignment vertical="top" wrapText="1"/>
    </xf>
    <xf numFmtId="10" fontId="6" fillId="0" borderId="0" xfId="0" applyNumberFormat="1" applyFont="1"/>
    <xf numFmtId="10" fontId="7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10" fontId="6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</cellXfs>
  <cellStyles count="5">
    <cellStyle name="Normal" xfId="0" builtinId="0"/>
    <cellStyle name="Normal 2" xfId="1"/>
    <cellStyle name="Normal 2 2" xfId="2"/>
    <cellStyle name="Normal 3" xfId="3"/>
    <cellStyle name="Normal 5" xfId="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zoomScale="125" zoomScaleNormal="125" workbookViewId="0">
      <selection activeCell="B41" sqref="B41"/>
    </sheetView>
  </sheetViews>
  <sheetFormatPr baseColWidth="10" defaultRowHeight="12.75"/>
  <cols>
    <col min="1" max="1" width="11.42578125" style="7" customWidth="1"/>
    <col min="2" max="2" width="47.140625" style="7" customWidth="1"/>
    <col min="3" max="3" width="11.42578125" style="7" customWidth="1"/>
    <col min="4" max="4" width="23.5703125" style="7" customWidth="1"/>
    <col min="5" max="5" width="22.85546875" customWidth="1"/>
  </cols>
  <sheetData>
    <row r="1" spans="1:5">
      <c r="A1" s="4" t="s">
        <v>1</v>
      </c>
      <c r="B1" s="6" t="s">
        <v>6</v>
      </c>
    </row>
    <row r="2" spans="1:5">
      <c r="A2" s="4" t="s">
        <v>0</v>
      </c>
      <c r="B2" s="8" t="s">
        <v>2</v>
      </c>
      <c r="D2" s="8"/>
    </row>
    <row r="3" spans="1:5">
      <c r="A3" s="9"/>
      <c r="C3" s="15" t="s">
        <v>42</v>
      </c>
      <c r="D3" s="15" t="s">
        <v>44</v>
      </c>
      <c r="E3" s="15" t="s">
        <v>43</v>
      </c>
    </row>
    <row r="4" spans="1:5" s="20" customFormat="1">
      <c r="A4" s="17"/>
      <c r="B4" s="14" t="s">
        <v>16</v>
      </c>
      <c r="C4" s="17">
        <v>8</v>
      </c>
      <c r="D4" s="18">
        <f>SUM(C4/150)</f>
        <v>5.3333333333333337E-2</v>
      </c>
      <c r="E4" s="19">
        <f>SUM(C4/107)</f>
        <v>7.476635514018691E-2</v>
      </c>
    </row>
    <row r="5" spans="1:5">
      <c r="A5" s="9">
        <v>100</v>
      </c>
      <c r="B5" s="7" t="s">
        <v>19</v>
      </c>
      <c r="C5" s="7">
        <v>8</v>
      </c>
      <c r="D5" s="21">
        <f t="shared" ref="D5:D40" si="0">SUM(C5/150)</f>
        <v>5.3333333333333337E-2</v>
      </c>
      <c r="E5" s="22">
        <f t="shared" ref="E5:E40" si="1">SUM(C5/107)</f>
        <v>7.476635514018691E-2</v>
      </c>
    </row>
    <row r="6" spans="1:5">
      <c r="A6" s="9"/>
      <c r="D6" s="21"/>
      <c r="E6" s="22"/>
    </row>
    <row r="7" spans="1:5" s="20" customFormat="1">
      <c r="A7" s="17"/>
      <c r="B7" s="14" t="s">
        <v>20</v>
      </c>
      <c r="C7" s="17">
        <v>7</v>
      </c>
      <c r="D7" s="18">
        <f t="shared" si="0"/>
        <v>4.6666666666666669E-2</v>
      </c>
      <c r="E7" s="19">
        <f t="shared" si="1"/>
        <v>6.5420560747663545E-2</v>
      </c>
    </row>
    <row r="8" spans="1:5">
      <c r="A8" s="9">
        <v>200</v>
      </c>
      <c r="B8" s="7" t="s">
        <v>21</v>
      </c>
      <c r="C8" s="7">
        <v>3</v>
      </c>
      <c r="D8" s="21">
        <f t="shared" si="0"/>
        <v>0.02</v>
      </c>
      <c r="E8" s="22">
        <f t="shared" si="1"/>
        <v>2.8037383177570093E-2</v>
      </c>
    </row>
    <row r="9" spans="1:5">
      <c r="A9" s="12">
        <v>201</v>
      </c>
      <c r="B9" s="7" t="s">
        <v>22</v>
      </c>
      <c r="C9" s="7">
        <v>4</v>
      </c>
      <c r="D9" s="21">
        <f t="shared" si="0"/>
        <v>2.6666666666666668E-2</v>
      </c>
      <c r="E9" s="22">
        <f t="shared" si="1"/>
        <v>3.7383177570093455E-2</v>
      </c>
    </row>
    <row r="10" spans="1:5">
      <c r="A10" s="9"/>
      <c r="D10" s="21"/>
      <c r="E10" s="22"/>
    </row>
    <row r="11" spans="1:5" s="20" customFormat="1">
      <c r="A11" s="17"/>
      <c r="B11" s="14" t="s">
        <v>14</v>
      </c>
      <c r="C11" s="17">
        <v>27</v>
      </c>
      <c r="D11" s="18">
        <f t="shared" si="0"/>
        <v>0.18</v>
      </c>
      <c r="E11" s="19">
        <f t="shared" si="1"/>
        <v>0.25233644859813081</v>
      </c>
    </row>
    <row r="12" spans="1:5">
      <c r="A12" s="12">
        <v>300</v>
      </c>
      <c r="B12" s="7" t="s">
        <v>10</v>
      </c>
      <c r="C12" s="7">
        <v>13</v>
      </c>
      <c r="D12" s="21">
        <f t="shared" si="0"/>
        <v>8.666666666666667E-2</v>
      </c>
      <c r="E12" s="22">
        <f t="shared" si="1"/>
        <v>0.12149532710280374</v>
      </c>
    </row>
    <row r="13" spans="1:5">
      <c r="A13" s="9">
        <v>301</v>
      </c>
      <c r="B13" s="7" t="s">
        <v>11</v>
      </c>
      <c r="C13" s="7">
        <v>6</v>
      </c>
      <c r="D13" s="21">
        <f t="shared" si="0"/>
        <v>0.04</v>
      </c>
      <c r="E13" s="22">
        <f t="shared" si="1"/>
        <v>5.6074766355140186E-2</v>
      </c>
    </row>
    <row r="14" spans="1:5">
      <c r="A14" s="9">
        <v>302</v>
      </c>
      <c r="B14" s="15" t="s">
        <v>23</v>
      </c>
      <c r="C14" s="7">
        <v>9</v>
      </c>
      <c r="D14" s="21">
        <f t="shared" si="0"/>
        <v>0.06</v>
      </c>
      <c r="E14" s="22">
        <f t="shared" si="1"/>
        <v>8.4112149532710276E-2</v>
      </c>
    </row>
    <row r="15" spans="1:5">
      <c r="A15" s="9">
        <v>303</v>
      </c>
      <c r="B15" s="7" t="s">
        <v>18</v>
      </c>
      <c r="C15" s="7">
        <v>3</v>
      </c>
      <c r="D15" s="21">
        <f t="shared" si="0"/>
        <v>0.02</v>
      </c>
      <c r="E15" s="22">
        <f t="shared" si="1"/>
        <v>2.8037383177570093E-2</v>
      </c>
    </row>
    <row r="16" spans="1:5">
      <c r="A16" s="9"/>
      <c r="D16" s="21"/>
      <c r="E16" s="22"/>
    </row>
    <row r="17" spans="1:5" s="20" customFormat="1">
      <c r="A17" s="17"/>
      <c r="B17" s="14" t="s">
        <v>13</v>
      </c>
      <c r="C17" s="17">
        <v>37</v>
      </c>
      <c r="D17" s="18">
        <f t="shared" si="0"/>
        <v>0.24666666666666667</v>
      </c>
      <c r="E17" s="19">
        <f t="shared" si="1"/>
        <v>0.34579439252336447</v>
      </c>
    </row>
    <row r="18" spans="1:5">
      <c r="A18" s="9">
        <v>400</v>
      </c>
      <c r="B18" s="7" t="s">
        <v>24</v>
      </c>
      <c r="C18" s="7">
        <v>5</v>
      </c>
      <c r="D18" s="21">
        <f t="shared" si="0"/>
        <v>3.3333333333333333E-2</v>
      </c>
      <c r="E18" s="22">
        <f t="shared" si="1"/>
        <v>4.6728971962616821E-2</v>
      </c>
    </row>
    <row r="19" spans="1:5">
      <c r="A19" s="9">
        <v>401</v>
      </c>
      <c r="B19" s="7" t="s">
        <v>25</v>
      </c>
      <c r="C19" s="7">
        <v>13</v>
      </c>
      <c r="D19" s="21">
        <f t="shared" si="0"/>
        <v>8.666666666666667E-2</v>
      </c>
      <c r="E19" s="22">
        <f t="shared" si="1"/>
        <v>0.12149532710280374</v>
      </c>
    </row>
    <row r="20" spans="1:5">
      <c r="A20" s="9">
        <v>402</v>
      </c>
      <c r="B20" s="7" t="s">
        <v>26</v>
      </c>
      <c r="C20" s="7">
        <v>4</v>
      </c>
      <c r="D20" s="21">
        <f t="shared" si="0"/>
        <v>2.6666666666666668E-2</v>
      </c>
      <c r="E20" s="22">
        <f t="shared" si="1"/>
        <v>3.7383177570093455E-2</v>
      </c>
    </row>
    <row r="21" spans="1:5">
      <c r="A21" s="9">
        <v>403</v>
      </c>
      <c r="B21" s="7" t="s">
        <v>40</v>
      </c>
      <c r="C21" s="7">
        <v>8</v>
      </c>
      <c r="D21" s="21">
        <f t="shared" si="0"/>
        <v>5.3333333333333337E-2</v>
      </c>
      <c r="E21" s="22">
        <f t="shared" si="1"/>
        <v>7.476635514018691E-2</v>
      </c>
    </row>
    <row r="22" spans="1:5">
      <c r="A22" s="9">
        <v>404</v>
      </c>
      <c r="B22" s="7" t="s">
        <v>27</v>
      </c>
      <c r="C22" s="7">
        <v>3</v>
      </c>
      <c r="D22" s="21">
        <f t="shared" si="0"/>
        <v>0.02</v>
      </c>
      <c r="E22" s="22">
        <f t="shared" si="1"/>
        <v>2.8037383177570093E-2</v>
      </c>
    </row>
    <row r="23" spans="1:5">
      <c r="A23" s="9">
        <v>405</v>
      </c>
      <c r="B23" s="7" t="s">
        <v>28</v>
      </c>
      <c r="C23" s="7">
        <v>6</v>
      </c>
      <c r="D23" s="21">
        <f t="shared" si="0"/>
        <v>0.04</v>
      </c>
      <c r="E23" s="22">
        <f t="shared" si="1"/>
        <v>5.6074766355140186E-2</v>
      </c>
    </row>
    <row r="24" spans="1:5">
      <c r="A24" s="9">
        <v>406</v>
      </c>
      <c r="B24" s="13" t="s">
        <v>29</v>
      </c>
      <c r="C24" s="7">
        <v>9</v>
      </c>
      <c r="D24" s="21">
        <f t="shared" si="0"/>
        <v>0.06</v>
      </c>
      <c r="E24" s="22">
        <f t="shared" si="1"/>
        <v>8.4112149532710276E-2</v>
      </c>
    </row>
    <row r="25" spans="1:5">
      <c r="A25" s="9">
        <v>407</v>
      </c>
      <c r="B25" s="7" t="s">
        <v>12</v>
      </c>
      <c r="C25" s="7">
        <v>8</v>
      </c>
      <c r="D25" s="21">
        <f t="shared" si="0"/>
        <v>5.3333333333333337E-2</v>
      </c>
      <c r="E25" s="22">
        <f t="shared" si="1"/>
        <v>7.476635514018691E-2</v>
      </c>
    </row>
    <row r="26" spans="1:5">
      <c r="D26" s="21"/>
      <c r="E26" s="22"/>
    </row>
    <row r="27" spans="1:5" s="20" customFormat="1">
      <c r="A27" s="17"/>
      <c r="B27" s="14" t="s">
        <v>15</v>
      </c>
      <c r="C27" s="17">
        <v>8</v>
      </c>
      <c r="D27" s="18">
        <f t="shared" si="0"/>
        <v>5.3333333333333337E-2</v>
      </c>
      <c r="E27" s="19">
        <f t="shared" si="1"/>
        <v>7.476635514018691E-2</v>
      </c>
    </row>
    <row r="28" spans="1:5">
      <c r="A28" s="9">
        <v>500</v>
      </c>
      <c r="B28" s="7" t="s">
        <v>31</v>
      </c>
      <c r="C28" s="7">
        <v>6</v>
      </c>
      <c r="D28" s="21">
        <f t="shared" si="0"/>
        <v>0.04</v>
      </c>
      <c r="E28" s="22">
        <f t="shared" si="1"/>
        <v>5.6074766355140186E-2</v>
      </c>
    </row>
    <row r="29" spans="1:5">
      <c r="A29" s="9">
        <v>501</v>
      </c>
      <c r="B29" s="7" t="s">
        <v>30</v>
      </c>
      <c r="C29" s="7">
        <v>3</v>
      </c>
      <c r="D29" s="21">
        <f t="shared" si="0"/>
        <v>0.02</v>
      </c>
      <c r="E29" s="22">
        <f t="shared" si="1"/>
        <v>2.8037383177570093E-2</v>
      </c>
    </row>
    <row r="30" spans="1:5">
      <c r="D30" s="21"/>
      <c r="E30" s="22"/>
    </row>
    <row r="31" spans="1:5" s="20" customFormat="1">
      <c r="A31" s="17"/>
      <c r="B31" s="14" t="s">
        <v>32</v>
      </c>
      <c r="C31" s="17">
        <v>40</v>
      </c>
      <c r="D31" s="18">
        <f t="shared" si="0"/>
        <v>0.26666666666666666</v>
      </c>
      <c r="E31" s="19">
        <f t="shared" si="1"/>
        <v>0.37383177570093457</v>
      </c>
    </row>
    <row r="32" spans="1:5">
      <c r="A32" s="9">
        <v>700</v>
      </c>
      <c r="B32" s="7" t="s">
        <v>34</v>
      </c>
      <c r="C32" s="7">
        <v>5</v>
      </c>
      <c r="D32" s="21">
        <f t="shared" si="0"/>
        <v>3.3333333333333333E-2</v>
      </c>
      <c r="E32" s="22">
        <f t="shared" si="1"/>
        <v>4.6728971962616821E-2</v>
      </c>
    </row>
    <row r="33" spans="1:5">
      <c r="A33" s="9">
        <v>701</v>
      </c>
      <c r="B33" s="7" t="s">
        <v>35</v>
      </c>
      <c r="C33" s="7">
        <v>4</v>
      </c>
      <c r="D33" s="21">
        <f t="shared" si="0"/>
        <v>2.6666666666666668E-2</v>
      </c>
      <c r="E33" s="22">
        <f t="shared" si="1"/>
        <v>3.7383177570093455E-2</v>
      </c>
    </row>
    <row r="34" spans="1:5">
      <c r="A34" s="9">
        <v>702</v>
      </c>
      <c r="B34" s="7" t="s">
        <v>36</v>
      </c>
      <c r="C34" s="7">
        <v>6</v>
      </c>
      <c r="D34" s="21">
        <f t="shared" si="0"/>
        <v>0.04</v>
      </c>
      <c r="E34" s="22">
        <f t="shared" si="1"/>
        <v>5.6074766355140186E-2</v>
      </c>
    </row>
    <row r="35" spans="1:5">
      <c r="A35" s="9">
        <v>703</v>
      </c>
      <c r="B35" s="7" t="s">
        <v>33</v>
      </c>
      <c r="C35" s="7">
        <v>4</v>
      </c>
      <c r="D35" s="21">
        <f t="shared" si="0"/>
        <v>2.6666666666666668E-2</v>
      </c>
      <c r="E35" s="22">
        <f t="shared" si="1"/>
        <v>3.7383177570093455E-2</v>
      </c>
    </row>
    <row r="36" spans="1:5">
      <c r="A36" s="9">
        <v>704</v>
      </c>
      <c r="B36" s="10" t="s">
        <v>9</v>
      </c>
      <c r="C36" s="7">
        <v>13</v>
      </c>
      <c r="D36" s="21">
        <f t="shared" si="0"/>
        <v>8.666666666666667E-2</v>
      </c>
      <c r="E36" s="22">
        <f t="shared" si="1"/>
        <v>0.12149532710280374</v>
      </c>
    </row>
    <row r="37" spans="1:5">
      <c r="A37" s="9">
        <v>705</v>
      </c>
      <c r="B37" s="11" t="s">
        <v>7</v>
      </c>
      <c r="C37" s="7">
        <v>13</v>
      </c>
      <c r="D37" s="21">
        <f t="shared" si="0"/>
        <v>8.666666666666667E-2</v>
      </c>
      <c r="E37" s="22">
        <f t="shared" si="1"/>
        <v>0.12149532710280374</v>
      </c>
    </row>
    <row r="38" spans="1:5">
      <c r="D38" s="21"/>
      <c r="E38" s="22"/>
    </row>
    <row r="39" spans="1:5">
      <c r="A39" s="7">
        <v>599</v>
      </c>
      <c r="B39" s="7" t="s">
        <v>3</v>
      </c>
      <c r="C39" s="7">
        <v>5</v>
      </c>
      <c r="D39" s="21">
        <f t="shared" si="0"/>
        <v>3.3333333333333333E-2</v>
      </c>
      <c r="E39" s="22">
        <f t="shared" si="1"/>
        <v>4.6728971962616821E-2</v>
      </c>
    </row>
    <row r="40" spans="1:5">
      <c r="A40" s="7">
        <v>600</v>
      </c>
      <c r="B40" s="7" t="s">
        <v>4</v>
      </c>
      <c r="C40" s="7">
        <v>0</v>
      </c>
      <c r="D40" s="21">
        <f t="shared" si="0"/>
        <v>0</v>
      </c>
      <c r="E40" s="22">
        <f t="shared" si="1"/>
        <v>0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tabSelected="1" zoomScale="125" zoomScaleNormal="125" workbookViewId="0">
      <selection activeCell="B28" sqref="B28"/>
    </sheetView>
  </sheetViews>
  <sheetFormatPr baseColWidth="10" defaultRowHeight="12.75"/>
  <cols>
    <col min="1" max="1" width="11.42578125" style="5" customWidth="1"/>
    <col min="2" max="2" width="50.28515625" style="2" customWidth="1"/>
    <col min="3" max="3" width="11.42578125" style="2" customWidth="1"/>
    <col min="4" max="4" width="25" style="2" customWidth="1"/>
    <col min="5" max="5" width="23" customWidth="1"/>
  </cols>
  <sheetData>
    <row r="1" spans="1:6">
      <c r="A1" s="4" t="s">
        <v>1</v>
      </c>
      <c r="B1" s="1" t="s">
        <v>5</v>
      </c>
    </row>
    <row r="2" spans="1:6">
      <c r="A2" s="4" t="s">
        <v>0</v>
      </c>
      <c r="B2" s="3" t="s">
        <v>2</v>
      </c>
      <c r="D2" s="3"/>
    </row>
    <row r="3" spans="1:6">
      <c r="C3" s="15" t="s">
        <v>42</v>
      </c>
      <c r="D3" s="15" t="s">
        <v>44</v>
      </c>
      <c r="E3" s="15" t="s">
        <v>45</v>
      </c>
    </row>
    <row r="4" spans="1:6">
      <c r="B4" s="14" t="s">
        <v>16</v>
      </c>
      <c r="C4" s="25">
        <v>2</v>
      </c>
      <c r="D4" s="23">
        <f>SUM(C4/150)</f>
        <v>1.3333333333333334E-2</v>
      </c>
      <c r="E4" s="19">
        <f>SUM(C4/38)</f>
        <v>5.2631578947368418E-2</v>
      </c>
    </row>
    <row r="5" spans="1:6">
      <c r="A5" s="9">
        <v>100</v>
      </c>
      <c r="B5" s="2" t="s">
        <v>38</v>
      </c>
      <c r="C5" s="26">
        <v>2</v>
      </c>
      <c r="D5" s="27">
        <f t="shared" ref="D5:D20" si="0">SUM(C5/150)</f>
        <v>1.3333333333333334E-2</v>
      </c>
      <c r="E5" s="22">
        <f t="shared" ref="E5:E20" si="1">SUM(C5/38)</f>
        <v>5.2631578947368418E-2</v>
      </c>
      <c r="F5" s="16"/>
    </row>
    <row r="6" spans="1:6">
      <c r="C6" s="26"/>
      <c r="D6" s="23"/>
      <c r="E6" s="19"/>
    </row>
    <row r="7" spans="1:6">
      <c r="B7" s="14" t="s">
        <v>10</v>
      </c>
      <c r="C7" s="25" t="s">
        <v>46</v>
      </c>
      <c r="D7" s="23">
        <f t="shared" si="0"/>
        <v>5.3333333333333337E-2</v>
      </c>
      <c r="E7" s="19">
        <f t="shared" si="1"/>
        <v>0.21052631578947367</v>
      </c>
    </row>
    <row r="8" spans="1:6">
      <c r="A8" s="9">
        <v>200</v>
      </c>
      <c r="B8" s="7" t="s">
        <v>10</v>
      </c>
      <c r="C8" s="28" t="s">
        <v>46</v>
      </c>
      <c r="D8" s="27">
        <f t="shared" si="0"/>
        <v>5.3333333333333337E-2</v>
      </c>
      <c r="E8" s="22">
        <f t="shared" si="1"/>
        <v>0.21052631578947367</v>
      </c>
    </row>
    <row r="9" spans="1:6">
      <c r="B9" s="7"/>
      <c r="C9" s="26"/>
      <c r="D9" s="27"/>
      <c r="E9" s="22"/>
    </row>
    <row r="10" spans="1:6">
      <c r="B10" s="14" t="s">
        <v>32</v>
      </c>
      <c r="C10" s="25" t="s">
        <v>51</v>
      </c>
      <c r="D10" s="23">
        <f t="shared" si="0"/>
        <v>0.2</v>
      </c>
      <c r="E10" s="19">
        <f t="shared" si="1"/>
        <v>0.78947368421052633</v>
      </c>
    </row>
    <row r="11" spans="1:6">
      <c r="A11" s="12">
        <v>300</v>
      </c>
      <c r="B11" s="15" t="s">
        <v>17</v>
      </c>
      <c r="C11" s="28" t="s">
        <v>47</v>
      </c>
      <c r="D11" s="27">
        <f t="shared" si="0"/>
        <v>0.11333333333333333</v>
      </c>
      <c r="E11" s="22">
        <f t="shared" si="1"/>
        <v>0.44736842105263158</v>
      </c>
    </row>
    <row r="12" spans="1:6">
      <c r="A12" s="12">
        <v>301</v>
      </c>
      <c r="B12" s="2" t="s">
        <v>41</v>
      </c>
      <c r="C12" s="28" t="s">
        <v>48</v>
      </c>
      <c r="D12" s="27">
        <f t="shared" si="0"/>
        <v>2.6666666666666668E-2</v>
      </c>
      <c r="E12" s="22">
        <f t="shared" si="1"/>
        <v>0.10526315789473684</v>
      </c>
    </row>
    <row r="13" spans="1:6">
      <c r="A13" s="12">
        <v>302</v>
      </c>
      <c r="B13" s="2" t="s">
        <v>39</v>
      </c>
      <c r="C13" s="28" t="s">
        <v>48</v>
      </c>
      <c r="D13" s="27">
        <f t="shared" si="0"/>
        <v>2.6666666666666668E-2</v>
      </c>
      <c r="E13" s="22">
        <f t="shared" si="1"/>
        <v>0.10526315789473684</v>
      </c>
    </row>
    <row r="14" spans="1:6">
      <c r="A14" s="12">
        <v>303</v>
      </c>
      <c r="B14" s="24" t="s">
        <v>37</v>
      </c>
      <c r="C14" s="28" t="s">
        <v>49</v>
      </c>
      <c r="D14" s="27">
        <f t="shared" si="0"/>
        <v>0.02</v>
      </c>
      <c r="E14" s="22">
        <f t="shared" si="1"/>
        <v>7.8947368421052627E-2</v>
      </c>
    </row>
    <row r="15" spans="1:6">
      <c r="A15" s="12">
        <v>304</v>
      </c>
      <c r="B15" s="10" t="s">
        <v>9</v>
      </c>
      <c r="C15" s="28" t="s">
        <v>50</v>
      </c>
      <c r="D15" s="27">
        <f t="shared" si="0"/>
        <v>1.3333333333333334E-2</v>
      </c>
      <c r="E15" s="22">
        <f t="shared" si="1"/>
        <v>5.2631578947368418E-2</v>
      </c>
    </row>
    <row r="16" spans="1:6">
      <c r="A16" s="12">
        <v>305</v>
      </c>
      <c r="B16" s="11" t="s">
        <v>8</v>
      </c>
      <c r="C16" s="28" t="s">
        <v>48</v>
      </c>
      <c r="D16" s="27">
        <f t="shared" si="0"/>
        <v>2.6666666666666668E-2</v>
      </c>
      <c r="E16" s="22">
        <f t="shared" si="1"/>
        <v>0.10526315789473684</v>
      </c>
    </row>
    <row r="17" spans="1:5">
      <c r="A17" s="9"/>
      <c r="C17" s="26"/>
      <c r="D17" s="23"/>
      <c r="E17" s="19"/>
    </row>
    <row r="18" spans="1:5">
      <c r="C18" s="26"/>
      <c r="D18" s="23"/>
      <c r="E18" s="19"/>
    </row>
    <row r="19" spans="1:5">
      <c r="A19" s="5">
        <v>599</v>
      </c>
      <c r="B19" s="2" t="s">
        <v>3</v>
      </c>
      <c r="C19" s="28" t="s">
        <v>49</v>
      </c>
      <c r="D19" s="27">
        <f t="shared" si="0"/>
        <v>0.02</v>
      </c>
      <c r="E19" s="22">
        <f t="shared" si="1"/>
        <v>7.8947368421052627E-2</v>
      </c>
    </row>
    <row r="20" spans="1:5">
      <c r="A20" s="5">
        <v>600</v>
      </c>
      <c r="B20" s="2" t="s">
        <v>4</v>
      </c>
      <c r="C20" s="28" t="s">
        <v>52</v>
      </c>
      <c r="D20" s="27">
        <f t="shared" si="0"/>
        <v>0</v>
      </c>
      <c r="E20" s="22">
        <f t="shared" si="1"/>
        <v>0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QOP26a</vt:lpstr>
      <vt:lpstr>QOP26b</vt:lpstr>
    </vt:vector>
  </TitlesOfParts>
  <Company>MILLWARD BROWN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PetytA</dc:creator>
  <cp:lastModifiedBy>Fares Ghanem</cp:lastModifiedBy>
  <cp:lastPrinted>2015-01-30T10:43:03Z</cp:lastPrinted>
  <dcterms:created xsi:type="dcterms:W3CDTF">2006-03-20T13:19:32Z</dcterms:created>
  <dcterms:modified xsi:type="dcterms:W3CDTF">2015-01-30T12:08:58Z</dcterms:modified>
</cp:coreProperties>
</file>